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 de Precio" sheetId="1" state="visible" r:id="rId1"/>
    <sheet xmlns:r="http://schemas.openxmlformats.org/officeDocument/2006/relationships" name="Registro de Valor" sheetId="2" state="visible" r:id="rId2"/>
    <sheet xmlns:r="http://schemas.openxmlformats.org/officeDocument/2006/relationships" name="Modelo de Crecimiento" sheetId="3" state="visible" r:id="rId3"/>
    <sheet xmlns:r="http://schemas.openxmlformats.org/officeDocument/2006/relationships" name="Cómo usar y cotiz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$#,##0.00"/>
    <numFmt numFmtId="166" formatCode="0.00&quot;x&quot;"/>
  </numFmts>
  <fonts count="19">
    <font>
      <name val="Calibri"/>
      <family val="2"/>
      <color theme="1"/>
      <sz val="11"/>
      <scheme val="minor"/>
    </font>
    <font>
      <name val="Arial"/>
      <b val="1"/>
      <color rgb="0012324F"/>
      <sz val="15"/>
    </font>
    <font>
      <name val="Arial"/>
      <i val="1"/>
      <color rgb="005B6770"/>
      <sz val="9"/>
    </font>
    <font>
      <name val="Arial"/>
      <b val="1"/>
      <color rgb="00FFFFFF"/>
      <sz val="10"/>
    </font>
    <font>
      <name val="Arial"/>
      <b val="1"/>
      <color rgb="0012324F"/>
      <sz val="10"/>
    </font>
    <font>
      <name val="Arial"/>
      <color rgb="000000FF"/>
      <sz val="10"/>
    </font>
    <font>
      <name val="Arial"/>
      <sz val="9"/>
    </font>
    <font>
      <name val="Arial"/>
      <i val="1"/>
      <color rgb="00B8860B"/>
      <sz val="9"/>
    </font>
    <font>
      <name val="Arial"/>
      <b val="1"/>
      <color rgb="0012324F"/>
      <sz val="9"/>
    </font>
    <font>
      <name val="Arial"/>
      <color rgb="000000FF"/>
      <sz val="9"/>
    </font>
    <font>
      <name val="Arial"/>
      <b val="1"/>
      <sz val="9"/>
    </font>
    <font>
      <name val="Arial"/>
      <b val="1"/>
      <color rgb="000E7C7B"/>
      <sz val="9"/>
    </font>
    <font>
      <name val="Arial"/>
      <color rgb="001F4E79"/>
      <sz val="9"/>
    </font>
    <font>
      <name val="Arial"/>
      <b val="1"/>
      <color rgb="0012324F"/>
    </font>
    <font>
      <name val="Arial"/>
      <b val="1"/>
    </font>
    <font>
      <name val="Arial"/>
      <b val="1"/>
      <color rgb="000E7C7B"/>
    </font>
    <font>
      <name val="Arial"/>
      <color rgb="000000FF"/>
    </font>
    <font>
      <name val="Arial"/>
      <b val="1"/>
      <color rgb="0012324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2324F"/>
      </patternFill>
    </fill>
    <fill>
      <patternFill patternType="solid">
        <fgColor rgb="00FFF7D6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EEF3F7"/>
      </patternFill>
    </fill>
  </fills>
  <borders count="2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9" fillId="3" borderId="1" applyAlignment="1" pivotButton="0" quotePrefix="0" xfId="0">
      <alignment vertical="top" wrapText="1"/>
    </xf>
    <xf numFmtId="164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10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165" fontId="6" fillId="5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3" fillId="0" borderId="0" pivotButton="0" quotePrefix="0" xfId="0"/>
    <xf numFmtId="164" fontId="13" fillId="6" borderId="0" pivotButton="0" quotePrefix="0" xfId="0"/>
    <xf numFmtId="164" fontId="14" fillId="0" borderId="0" pivotButton="0" quotePrefix="0" xfId="0"/>
    <xf numFmtId="0" fontId="15" fillId="0" borderId="0" pivotButton="0" quotePrefix="0" xfId="0"/>
    <xf numFmtId="165" fontId="14" fillId="0" borderId="0" pivotButton="0" quotePrefix="0" xfId="0"/>
    <xf numFmtId="0" fontId="10" fillId="0" borderId="0" pivotButton="0" quotePrefix="0" xfId="0"/>
    <xf numFmtId="164" fontId="16" fillId="3" borderId="0" pivotButton="0" quotePrefix="0" xfId="0"/>
    <xf numFmtId="166" fontId="16" fillId="3" borderId="0" pivotButton="0" quotePrefix="0" xfId="0"/>
    <xf numFmtId="0" fontId="6" fillId="0" borderId="1" pivotButton="0" quotePrefix="0" xfId="0"/>
    <xf numFmtId="164" fontId="6" fillId="0" borderId="1" pivotButton="0" quotePrefix="0" xfId="0"/>
    <xf numFmtId="0" fontId="11" fillId="0" borderId="1" pivotButton="0" quotePrefix="0" xfId="0"/>
    <xf numFmtId="0" fontId="6" fillId="5" borderId="1" pivotButton="0" quotePrefix="0" xfId="0"/>
    <xf numFmtId="164" fontId="6" fillId="5" borderId="1" pivotButton="0" quotePrefix="0" xfId="0"/>
    <xf numFmtId="0" fontId="11" fillId="5" borderId="1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52" customWidth="1" min="4" max="4"/>
  </cols>
  <sheetData>
    <row r="1" ht="22" customHeight="1">
      <c r="A1" s="1" t="inlineStr">
        <is>
          <t>Tiers de precio</t>
        </is>
      </c>
    </row>
    <row r="2">
      <c r="A2" s="2" t="inlineStr">
        <is>
          <t>Ecuador está dolarizado: el precio en USD es el mismo local e internacional (sin fricción de cambio).</t>
        </is>
      </c>
    </row>
    <row r="4">
      <c r="A4" s="3" t="inlineStr">
        <is>
          <t>Tier</t>
        </is>
      </c>
      <c r="B4" s="3" t="inlineStr">
        <is>
          <t>Umbral valor acumulado ($/mes)</t>
        </is>
      </c>
      <c r="C4" s="3" t="inlineStr">
        <is>
          <t>Precio ($/mes · EC = Intl)</t>
        </is>
      </c>
      <c r="D4" s="3" t="inlineStr">
        <is>
          <t>Qué incluye</t>
        </is>
      </c>
    </row>
    <row r="5">
      <c r="A5" s="4" t="inlineStr">
        <is>
          <t>Gratis</t>
        </is>
      </c>
      <c r="B5" s="5" t="n">
        <v>0</v>
      </c>
      <c r="C5" s="6" t="n">
        <v>0</v>
      </c>
      <c r="D5" s="7" t="inlineStr">
        <is>
          <t>Resuelve el trabajo central lo suficiente para adoptar. Sin login, sin barrera: es tu carta de presentación.</t>
        </is>
      </c>
    </row>
    <row r="6">
      <c r="A6" s="4" t="inlineStr">
        <is>
          <t>Semilla</t>
        </is>
      </c>
      <c r="B6" s="5" t="n">
        <v>1.5</v>
      </c>
      <c r="C6" s="6" t="n">
        <v>0.99</v>
      </c>
      <c r="D6" s="7" t="inlineStr">
        <is>
          <t>El desbloqueo no-brainer: guardar, exportar, sin límites. Precio de 'ni lo pienses'.</t>
        </is>
      </c>
    </row>
    <row r="7">
      <c r="A7" s="4" t="inlineStr">
        <is>
          <t>Pro</t>
        </is>
      </c>
      <c r="B7" s="5" t="n">
        <v>4</v>
      </c>
      <c r="C7" s="6" t="n">
        <v>2.99</v>
      </c>
      <c r="D7" s="7" t="inlineStr">
        <is>
          <t>IA explicativa, lotes, reportes PDF para tesis, gráficos. Para quien ya vive del producto.</t>
        </is>
      </c>
    </row>
    <row r="8">
      <c r="A8" s="4" t="inlineStr">
        <is>
          <t>Institucional</t>
        </is>
      </c>
      <c r="B8" s="5" t="n">
        <v>10</v>
      </c>
      <c r="C8" s="6" t="n">
        <v>19.99</v>
      </c>
      <c r="D8" s="7" t="inlineStr">
        <is>
          <t>Licencia por curso: el docente paga una vez por su clase (10-30 alumnos). El salto exponencial.</t>
        </is>
      </c>
    </row>
    <row r="10">
      <c r="A10" s="8" t="inlineStr">
        <is>
          <t>Celdas amarillas = tú las editas (umbrales y precios). El Registro de Valor lee estos umbrales para sugerir el tier automáticamente.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14" customWidth="1" min="4" max="4"/>
    <col width="11" customWidth="1" min="5" max="5"/>
    <col width="15" customWidth="1" min="6" max="6"/>
    <col width="14" customWidth="1" min="7" max="7"/>
    <col width="15" customWidth="1" min="8" max="8"/>
    <col width="15" customWidth="1" min="9" max="9"/>
    <col width="18" customWidth="1" min="10" max="10"/>
    <col width="26" customWidth="1" min="11" max="11"/>
  </cols>
  <sheetData>
    <row r="1" ht="22" customHeight="1">
      <c r="A1" s="1" t="inlineStr">
        <is>
          <t>Registro de valor  ·  cada commit suma hacia un precio justificado</t>
        </is>
      </c>
    </row>
    <row r="2">
      <c r="A2" s="2" t="inlineStr">
        <is>
          <t>Empiezas en $0. Cada incremento aporta valor mensual justificado (de milésimas a décimas). El acumulado desbloquea tiers.</t>
        </is>
      </c>
    </row>
    <row r="4">
      <c r="A4" s="3" t="inlineStr">
        <is>
          <t>ID (commit/ticket)</t>
        </is>
      </c>
      <c r="B4" s="3" t="inlineStr">
        <is>
          <t>Fecha</t>
        </is>
      </c>
      <c r="C4" s="3" t="inlineStr">
        <is>
          <t>Incremento construido</t>
        </is>
      </c>
      <c r="D4" s="3" t="inlineStr">
        <is>
          <t>Audiencia</t>
        </is>
      </c>
      <c r="E4" s="3" t="inlineStr">
        <is>
          <t>Tipo</t>
        </is>
      </c>
      <c r="F4" s="3" t="inlineStr">
        <is>
          <t>Valor $/mes justificado</t>
        </is>
      </c>
      <c r="G4" s="3" t="inlineStr">
        <is>
          <t>Acumulado $/mes</t>
        </is>
      </c>
      <c r="H4" s="3" t="inlineStr">
        <is>
          <t>Tier desbloqueado</t>
        </is>
      </c>
      <c r="I4" s="3" t="inlineStr">
        <is>
          <t>Precio sugerido $/mes</t>
        </is>
      </c>
      <c r="J4" s="3" t="inlineStr">
        <is>
          <t>Enlace commit</t>
        </is>
      </c>
      <c r="K4" s="3" t="inlineStr">
        <is>
          <t>Notas</t>
        </is>
      </c>
    </row>
    <row r="5">
      <c r="A5" s="9" t="inlineStr">
        <is>
          <t>FUND-000</t>
        </is>
      </c>
      <c r="B5" s="10" t="inlineStr">
        <is>
          <t>2026-07-28</t>
        </is>
      </c>
      <c r="C5" s="10" t="inlineStr">
        <is>
          <t>Repo + landing con lista de espera</t>
        </is>
      </c>
      <c r="D5" s="10" t="inlineStr">
        <is>
          <t>Todas</t>
        </is>
      </c>
      <c r="E5" s="10" t="inlineStr">
        <is>
          <t>infra</t>
        </is>
      </c>
      <c r="F5" s="11" t="n">
        <v>0</v>
      </c>
      <c r="G5" s="12">
        <f>SUM($F$5:F5)</f>
        <v/>
      </c>
      <c r="H5" s="13">
        <f>IF(G5&gt;='Tiers de Precio'!$B$8,'Tiers de Precio'!$A$8,IF(G5&gt;='Tiers de Precio'!$B$7,'Tiers de Precio'!$A$7,IF(G5&gt;='Tiers de Precio'!$B$6,'Tiers de Precio'!$A$6,'Tiers de Precio'!$A$5)))</f>
        <v/>
      </c>
      <c r="I5" s="14">
        <f>IF(G5&gt;='Tiers de Precio'!$B$8,'Tiers de Precio'!$C$8,IF(G5&gt;='Tiers de Precio'!$B$7,'Tiers de Precio'!$C$7,IF(G5&gt;='Tiers de Precio'!$B$6,'Tiers de Precio'!$C$6,'Tiers de Precio'!$C$5)))</f>
        <v/>
      </c>
      <c r="J5" s="15" t="inlineStr"/>
      <c r="K5" s="10" t="inlineStr"/>
    </row>
    <row r="6">
      <c r="A6" s="16" t="inlineStr">
        <is>
          <t>STAT-001</t>
        </is>
      </c>
      <c r="B6" s="17" t="inlineStr"/>
      <c r="C6" s="17" t="inlineStr">
        <is>
          <t>Subir CSV y describir datos (media, sd, n)</t>
        </is>
      </c>
      <c r="D6" s="17" t="inlineStr">
        <is>
          <t>Todas</t>
        </is>
      </c>
      <c r="E6" s="17" t="inlineStr">
        <is>
          <t>core</t>
        </is>
      </c>
      <c r="F6" s="11" t="n">
        <v>0.3</v>
      </c>
      <c r="G6" s="18">
        <f>SUM($F$5:F6)</f>
        <v/>
      </c>
      <c r="H6" s="19">
        <f>IF(G6&gt;='Tiers de Precio'!$B$8,'Tiers de Precio'!$A$8,IF(G6&gt;='Tiers de Precio'!$B$7,'Tiers de Precio'!$A$7,IF(G6&gt;='Tiers de Precio'!$B$6,'Tiers de Precio'!$A$6,'Tiers de Precio'!$A$5)))</f>
        <v/>
      </c>
      <c r="I6" s="20">
        <f>IF(G6&gt;='Tiers de Precio'!$B$8,'Tiers de Precio'!$C$8,IF(G6&gt;='Tiers de Precio'!$B$7,'Tiers de Precio'!$C$7,IF(G6&gt;='Tiers de Precio'!$B$6,'Tiers de Precio'!$C$6,'Tiers de Precio'!$C$5)))</f>
        <v/>
      </c>
      <c r="J6" s="21" t="inlineStr"/>
      <c r="K6" s="17" t="inlineStr"/>
    </row>
    <row r="7">
      <c r="A7" s="9" t="inlineStr">
        <is>
          <t>STAT-002</t>
        </is>
      </c>
      <c r="B7" s="10" t="inlineStr"/>
      <c r="C7" s="10" t="inlineStr">
        <is>
          <t>Selector ¿qué test usar? (árbol de decisión)</t>
        </is>
      </c>
      <c r="D7" s="10" t="inlineStr">
        <is>
          <t>Todas</t>
        </is>
      </c>
      <c r="E7" s="10" t="inlineStr">
        <is>
          <t>killer</t>
        </is>
      </c>
      <c r="F7" s="11" t="n">
        <v>1.2</v>
      </c>
      <c r="G7" s="12">
        <f>SUM($F$5:F7)</f>
        <v/>
      </c>
      <c r="H7" s="13">
        <f>IF(G7&gt;='Tiers de Precio'!$B$8,'Tiers de Precio'!$A$8,IF(G7&gt;='Tiers de Precio'!$B$7,'Tiers de Precio'!$A$7,IF(G7&gt;='Tiers de Precio'!$B$6,'Tiers de Precio'!$A$6,'Tiers de Precio'!$A$5)))</f>
        <v/>
      </c>
      <c r="I7" s="14">
        <f>IF(G7&gt;='Tiers de Precio'!$B$8,'Tiers de Precio'!$C$8,IF(G7&gt;='Tiers de Precio'!$B$7,'Tiers de Precio'!$C$7,IF(G7&gt;='Tiers de Precio'!$B$6,'Tiers de Precio'!$C$6,'Tiers de Precio'!$C$5)))</f>
        <v/>
      </c>
      <c r="J7" s="15" t="inlineStr"/>
      <c r="K7" s="10" t="inlineStr"/>
    </row>
    <row r="8">
      <c r="A8" s="16" t="inlineStr">
        <is>
          <t>STAT-003</t>
        </is>
      </c>
      <c r="B8" s="17" t="inlineStr"/>
      <c r="C8" s="17" t="inlineStr">
        <is>
          <t>Corre t-test / Wilcoxon / chi² con resultado</t>
        </is>
      </c>
      <c r="D8" s="17" t="inlineStr">
        <is>
          <t>Todas</t>
        </is>
      </c>
      <c r="E8" s="17" t="inlineStr">
        <is>
          <t>core</t>
        </is>
      </c>
      <c r="F8" s="11" t="n">
        <v>0.6</v>
      </c>
      <c r="G8" s="18">
        <f>SUM($F$5:F8)</f>
        <v/>
      </c>
      <c r="H8" s="19">
        <f>IF(G8&gt;='Tiers de Precio'!$B$8,'Tiers de Precio'!$A$8,IF(G8&gt;='Tiers de Precio'!$B$7,'Tiers de Precio'!$A$7,IF(G8&gt;='Tiers de Precio'!$B$6,'Tiers de Precio'!$A$6,'Tiers de Precio'!$A$5)))</f>
        <v/>
      </c>
      <c r="I8" s="20">
        <f>IF(G8&gt;='Tiers de Precio'!$B$8,'Tiers de Precio'!$C$8,IF(G8&gt;='Tiers de Precio'!$B$7,'Tiers de Precio'!$C$7,IF(G8&gt;='Tiers de Precio'!$B$6,'Tiers de Precio'!$C$6,'Tiers de Precio'!$C$5)))</f>
        <v/>
      </c>
      <c r="J8" s="21" t="inlineStr"/>
      <c r="K8" s="17" t="inlineStr"/>
    </row>
    <row r="9">
      <c r="A9" s="9" t="inlineStr">
        <is>
          <t>STAT-004</t>
        </is>
      </c>
      <c r="B9" s="10" t="inlineStr"/>
      <c r="C9" s="10" t="inlineStr">
        <is>
          <t>Chequeo de supuestos (normalidad, varianzas)</t>
        </is>
      </c>
      <c r="D9" s="10" t="inlineStr">
        <is>
          <t>Todas</t>
        </is>
      </c>
      <c r="E9" s="10" t="inlineStr">
        <is>
          <t>feature</t>
        </is>
      </c>
      <c r="F9" s="11" t="n">
        <v>0.25</v>
      </c>
      <c r="G9" s="12">
        <f>SUM($F$5:F9)</f>
        <v/>
      </c>
      <c r="H9" s="13">
        <f>IF(G9&gt;='Tiers de Precio'!$B$8,'Tiers de Precio'!$A$8,IF(G9&gt;='Tiers de Precio'!$B$7,'Tiers de Precio'!$A$7,IF(G9&gt;='Tiers de Precio'!$B$6,'Tiers de Precio'!$A$6,'Tiers de Precio'!$A$5)))</f>
        <v/>
      </c>
      <c r="I9" s="14">
        <f>IF(G9&gt;='Tiers de Precio'!$B$8,'Tiers de Precio'!$C$8,IF(G9&gt;='Tiers de Precio'!$B$7,'Tiers de Precio'!$C$7,IF(G9&gt;='Tiers de Precio'!$B$6,'Tiers de Precio'!$C$6,'Tiers de Precio'!$C$5)))</f>
        <v/>
      </c>
      <c r="J9" s="15" t="inlineStr"/>
      <c r="K9" s="10" t="inlineStr"/>
    </row>
    <row r="10">
      <c r="A10" s="16" t="inlineStr">
        <is>
          <t>STAT-005</t>
        </is>
      </c>
      <c r="B10" s="17" t="inlineStr"/>
      <c r="C10" s="17" t="inlineStr">
        <is>
          <t>Explicación en lenguaje claro (LLM)</t>
        </is>
      </c>
      <c r="D10" s="17" t="inlineStr">
        <is>
          <t>Todas</t>
        </is>
      </c>
      <c r="E10" s="17" t="inlineStr">
        <is>
          <t>killer</t>
        </is>
      </c>
      <c r="F10" s="11" t="n">
        <v>1</v>
      </c>
      <c r="G10" s="18">
        <f>SUM($F$5:F10)</f>
        <v/>
      </c>
      <c r="H10" s="19">
        <f>IF(G10&gt;='Tiers de Precio'!$B$8,'Tiers de Precio'!$A$8,IF(G10&gt;='Tiers de Precio'!$B$7,'Tiers de Precio'!$A$7,IF(G10&gt;='Tiers de Precio'!$B$6,'Tiers de Precio'!$A$6,'Tiers de Precio'!$A$5)))</f>
        <v/>
      </c>
      <c r="I10" s="20">
        <f>IF(G10&gt;='Tiers de Precio'!$B$8,'Tiers de Precio'!$C$8,IF(G10&gt;='Tiers de Precio'!$B$7,'Tiers de Precio'!$C$7,IF(G10&gt;='Tiers de Precio'!$B$6,'Tiers de Precio'!$C$6,'Tiers de Precio'!$C$5)))</f>
        <v/>
      </c>
      <c r="J10" s="21" t="inlineStr"/>
      <c r="K10" s="17" t="inlineStr"/>
    </row>
    <row r="11">
      <c r="A11" s="9" t="inlineStr">
        <is>
          <t>STAT-006</t>
        </is>
      </c>
      <c r="B11" s="10" t="inlineStr"/>
      <c r="C11" s="10" t="inlineStr">
        <is>
          <t>Exportar reporte PDF para anexar a la tesis</t>
        </is>
      </c>
      <c r="D11" s="10" t="inlineStr">
        <is>
          <t>Todas</t>
        </is>
      </c>
      <c r="E11" s="10" t="inlineStr">
        <is>
          <t>feature</t>
        </is>
      </c>
      <c r="F11" s="11" t="n">
        <v>0.4</v>
      </c>
      <c r="G11" s="12">
        <f>SUM($F$5:F11)</f>
        <v/>
      </c>
      <c r="H11" s="13">
        <f>IF(G11&gt;='Tiers de Precio'!$B$8,'Tiers de Precio'!$A$8,IF(G11&gt;='Tiers de Precio'!$B$7,'Tiers de Precio'!$A$7,IF(G11&gt;='Tiers de Precio'!$B$6,'Tiers de Precio'!$A$6,'Tiers de Precio'!$A$5)))</f>
        <v/>
      </c>
      <c r="I11" s="14">
        <f>IF(G11&gt;='Tiers de Precio'!$B$8,'Tiers de Precio'!$C$8,IF(G11&gt;='Tiers de Precio'!$B$7,'Tiers de Precio'!$C$7,IF(G11&gt;='Tiers de Precio'!$B$6,'Tiers de Precio'!$C$6,'Tiers de Precio'!$C$5)))</f>
        <v/>
      </c>
      <c r="J11" s="15" t="inlineStr"/>
      <c r="K11" s="10" t="inlineStr"/>
    </row>
    <row r="12">
      <c r="A12" s="16" t="inlineStr">
        <is>
          <t>STAT-007</t>
        </is>
      </c>
      <c r="B12" s="17" t="inlineStr"/>
      <c r="C12" s="17" t="inlineStr">
        <is>
          <t>Gráficos listos para tesis (APA)</t>
        </is>
      </c>
      <c r="D12" s="17" t="inlineStr">
        <is>
          <t>Todas</t>
        </is>
      </c>
      <c r="E12" s="17" t="inlineStr">
        <is>
          <t>feature</t>
        </is>
      </c>
      <c r="F12" s="11" t="n">
        <v>0.3</v>
      </c>
      <c r="G12" s="18">
        <f>SUM($F$5:F12)</f>
        <v/>
      </c>
      <c r="H12" s="19">
        <f>IF(G12&gt;='Tiers de Precio'!$B$8,'Tiers de Precio'!$A$8,IF(G12&gt;='Tiers de Precio'!$B$7,'Tiers de Precio'!$A$7,IF(G12&gt;='Tiers de Precio'!$B$6,'Tiers de Precio'!$A$6,'Tiers de Precio'!$A$5)))</f>
        <v/>
      </c>
      <c r="I12" s="20">
        <f>IF(G12&gt;='Tiers de Precio'!$B$8,'Tiers de Precio'!$C$8,IF(G12&gt;='Tiers de Precio'!$B$7,'Tiers de Precio'!$C$7,IF(G12&gt;='Tiers de Precio'!$B$6,'Tiers de Precio'!$C$6,'Tiers de Precio'!$C$5)))</f>
        <v/>
      </c>
      <c r="J12" s="21" t="inlineStr"/>
      <c r="K12" s="17" t="inlineStr"/>
    </row>
    <row r="13">
      <c r="A13" s="9" t="inlineStr">
        <is>
          <t>STAT-008</t>
        </is>
      </c>
      <c r="B13" s="10" t="inlineStr"/>
      <c r="C13" s="10" t="inlineStr">
        <is>
          <t>Cuentas de usuario + historial</t>
        </is>
      </c>
      <c r="D13" s="10" t="inlineStr">
        <is>
          <t>Todas</t>
        </is>
      </c>
      <c r="E13" s="10" t="inlineStr">
        <is>
          <t>infra</t>
        </is>
      </c>
      <c r="F13" s="11" t="n">
        <v>0.2</v>
      </c>
      <c r="G13" s="12">
        <f>SUM($F$5:F13)</f>
        <v/>
      </c>
      <c r="H13" s="13">
        <f>IF(G13&gt;='Tiers de Precio'!$B$8,'Tiers de Precio'!$A$8,IF(G13&gt;='Tiers de Precio'!$B$7,'Tiers de Precio'!$A$7,IF(G13&gt;='Tiers de Precio'!$B$6,'Tiers de Precio'!$A$6,'Tiers de Precio'!$A$5)))</f>
        <v/>
      </c>
      <c r="I13" s="14">
        <f>IF(G13&gt;='Tiers de Precio'!$B$8,'Tiers de Precio'!$C$8,IF(G13&gt;='Tiers de Precio'!$B$7,'Tiers de Precio'!$C$7,IF(G13&gt;='Tiers de Precio'!$B$6,'Tiers de Precio'!$C$6,'Tiers de Precio'!$C$5)))</f>
        <v/>
      </c>
      <c r="J13" s="15" t="inlineStr"/>
      <c r="K13" s="10" t="inlineStr"/>
    </row>
    <row r="14">
      <c r="A14" s="16" t="inlineStr">
        <is>
          <t>STAT-009</t>
        </is>
      </c>
      <c r="B14" s="17" t="inlineStr"/>
      <c r="C14" s="17" t="inlineStr">
        <is>
          <t>Panel docente (modo institucional)</t>
        </is>
      </c>
      <c r="D14" s="17" t="inlineStr">
        <is>
          <t>Docentes</t>
        </is>
      </c>
      <c r="E14" s="17" t="inlineStr">
        <is>
          <t>growth</t>
        </is>
      </c>
      <c r="F14" s="11" t="n">
        <v>0.6</v>
      </c>
      <c r="G14" s="18">
        <f>SUM($F$5:F14)</f>
        <v/>
      </c>
      <c r="H14" s="19">
        <f>IF(G14&gt;='Tiers de Precio'!$B$8,'Tiers de Precio'!$A$8,IF(G14&gt;='Tiers de Precio'!$B$7,'Tiers de Precio'!$A$7,IF(G14&gt;='Tiers de Precio'!$B$6,'Tiers de Precio'!$A$6,'Tiers de Precio'!$A$5)))</f>
        <v/>
      </c>
      <c r="I14" s="20">
        <f>IF(G14&gt;='Tiers de Precio'!$B$8,'Tiers de Precio'!$C$8,IF(G14&gt;='Tiers de Precio'!$B$7,'Tiers de Precio'!$C$7,IF(G14&gt;='Tiers de Precio'!$B$6,'Tiers de Precio'!$C$6,'Tiers de Precio'!$C$5)))</f>
        <v/>
      </c>
      <c r="J14" s="21" t="inlineStr"/>
      <c r="K14" s="17" t="inlineStr"/>
    </row>
    <row r="15">
      <c r="E15" s="22" t="inlineStr">
        <is>
          <t>TOTAL</t>
        </is>
      </c>
      <c r="F15" s="23">
        <f>SUM(F5:F14)</f>
        <v/>
      </c>
      <c r="G15" s="24">
        <f>G14</f>
        <v/>
      </c>
      <c r="H15" s="25">
        <f>IF(G14&gt;='Tiers de Precio'!$B$8,'Tiers de Precio'!$A$8,IF(G14&gt;='Tiers de Precio'!$B$7,'Tiers de Precio'!$A$7,IF(G14&gt;='Tiers de Precio'!$B$6,'Tiers de Precio'!$A$6,'Tiers de Precio'!$A$5)))</f>
        <v/>
      </c>
      <c r="I15" s="26">
        <f>IF(G14&gt;='Tiers de Precio'!$B$8,'Tiers de Precio'!$C$8,IF(G14&gt;='Tiers de Precio'!$B$7,'Tiers de Precio'!$C$7,IF(G14&gt;='Tiers de Precio'!$B$6,'Tiers de Precio'!$C$6,'Tiers de Precio'!$C$5)))</f>
        <v/>
      </c>
    </row>
    <row r="17">
      <c r="A17" s="8" t="inlineStr">
        <is>
          <t>Leyenda:  celdas AMARILLAS (col. 'Valor $/mes') = tú las editas por cada commit.  Columnas grises (Acumulado, Tier, Precio) se calculan solas.</t>
        </is>
      </c>
    </row>
    <row r="18">
      <c r="A18" s="2" t="inlineStr">
        <is>
          <t>Tipos:  fix (0.005–0.05) · feature (0.10–0.40) · core (0.40–0.80) · killer (0.80–2.0) · infra/growth (según impacto).</t>
        </is>
      </c>
    </row>
    <row r="19">
      <c r="A19" s="2" t="inlineStr">
        <is>
          <t>Regla: el valor NO es tu esfuerzo, es lo que le AHORRAS al usuario. 2 horas de estadística de tesis ahorradas valen mucho más que tu tiempo de codear.</t>
        </is>
      </c>
    </row>
  </sheetData>
  <mergeCells count="5">
    <mergeCell ref="A18:K18"/>
    <mergeCell ref="A2:K2"/>
    <mergeCell ref="A19:K19"/>
    <mergeCell ref="A1:K1"/>
    <mergeCell ref="A17:K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8" customWidth="1" min="4" max="4"/>
    <col width="18" customWidth="1" min="5" max="5"/>
    <col width="16" customWidth="1" min="6" max="6"/>
  </cols>
  <sheetData>
    <row r="1" ht="22" customHeight="1">
      <c r="A1" s="1" t="inlineStr">
        <is>
          <t>Modelo de crecimiento del precio</t>
        </is>
      </c>
    </row>
    <row r="2">
      <c r="A2" s="2" t="inlineStr">
        <is>
          <t>Cómo evoluciona el valor acumulado según construyas lineal (constante) o exponencial (efectos de red).</t>
        </is>
      </c>
    </row>
    <row r="4">
      <c r="A4" s="27" t="inlineStr">
        <is>
          <t>Aporte lineal por feature ($):</t>
        </is>
      </c>
      <c r="B4" s="28" t="n">
        <v>0.35</v>
      </c>
    </row>
    <row r="5">
      <c r="A5" s="27" t="inlineStr">
        <is>
          <t>Aporte inicial exponencial ($):</t>
        </is>
      </c>
      <c r="B5" s="28" t="n">
        <v>0.1</v>
      </c>
    </row>
    <row r="6">
      <c r="A6" s="27" t="inlineStr">
        <is>
          <t>Factor exponencial (×):</t>
        </is>
      </c>
      <c r="B6" s="29" t="n">
        <v>1.3</v>
      </c>
    </row>
    <row r="8">
      <c r="A8" s="3" t="inlineStr">
        <is>
          <t>Feature #</t>
        </is>
      </c>
      <c r="B8" s="3" t="inlineStr">
        <is>
          <t>Aporte lineal</t>
        </is>
      </c>
      <c r="C8" s="3" t="inlineStr">
        <is>
          <t>Acum. lineal</t>
        </is>
      </c>
      <c r="D8" s="3" t="inlineStr">
        <is>
          <t>Aporte exponencial</t>
        </is>
      </c>
      <c r="E8" s="3" t="inlineStr">
        <is>
          <t>Acum. exponencial</t>
        </is>
      </c>
      <c r="F8" s="3" t="inlineStr">
        <is>
          <t>Tier (por exp.)</t>
        </is>
      </c>
    </row>
    <row r="9">
      <c r="A9" s="30" t="n">
        <v>0</v>
      </c>
      <c r="B9" s="31">
        <f>$B$4</f>
        <v/>
      </c>
      <c r="C9" s="31">
        <f>B9</f>
        <v/>
      </c>
      <c r="D9" s="31">
        <f>$B$5</f>
        <v/>
      </c>
      <c r="E9" s="31">
        <f>D9</f>
        <v/>
      </c>
      <c r="F9" s="32">
        <f>IF(E9&gt;='Tiers de Precio'!$B$8,'Tiers de Precio'!$A$8,IF(E9&gt;='Tiers de Precio'!$B$7,'Tiers de Precio'!$A$7,IF(E9&gt;='Tiers de Precio'!$B$6,'Tiers de Precio'!$A$6,'Tiers de Precio'!$A$5)))</f>
        <v/>
      </c>
    </row>
    <row r="10">
      <c r="A10" s="33" t="n">
        <v>1</v>
      </c>
      <c r="B10" s="34">
        <f>$B$4</f>
        <v/>
      </c>
      <c r="C10" s="34">
        <f>C9+B10</f>
        <v/>
      </c>
      <c r="D10" s="34">
        <f>D9*$B$6</f>
        <v/>
      </c>
      <c r="E10" s="34">
        <f>E9+D10</f>
        <v/>
      </c>
      <c r="F10" s="35">
        <f>IF(E10&gt;='Tiers de Precio'!$B$8,'Tiers de Precio'!$A$8,IF(E10&gt;='Tiers de Precio'!$B$7,'Tiers de Precio'!$A$7,IF(E10&gt;='Tiers de Precio'!$B$6,'Tiers de Precio'!$A$6,'Tiers de Precio'!$A$5)))</f>
        <v/>
      </c>
    </row>
    <row r="11">
      <c r="A11" s="30" t="n">
        <v>2</v>
      </c>
      <c r="B11" s="31">
        <f>$B$4</f>
        <v/>
      </c>
      <c r="C11" s="31">
        <f>C10+B11</f>
        <v/>
      </c>
      <c r="D11" s="31">
        <f>D10*$B$6</f>
        <v/>
      </c>
      <c r="E11" s="31">
        <f>E10+D11</f>
        <v/>
      </c>
      <c r="F11" s="32">
        <f>IF(E11&gt;='Tiers de Precio'!$B$8,'Tiers de Precio'!$A$8,IF(E11&gt;='Tiers de Precio'!$B$7,'Tiers de Precio'!$A$7,IF(E11&gt;='Tiers de Precio'!$B$6,'Tiers de Precio'!$A$6,'Tiers de Precio'!$A$5)))</f>
        <v/>
      </c>
    </row>
    <row r="12">
      <c r="A12" s="33" t="n">
        <v>3</v>
      </c>
      <c r="B12" s="34">
        <f>$B$4</f>
        <v/>
      </c>
      <c r="C12" s="34">
        <f>C11+B12</f>
        <v/>
      </c>
      <c r="D12" s="34">
        <f>D11*$B$6</f>
        <v/>
      </c>
      <c r="E12" s="34">
        <f>E11+D12</f>
        <v/>
      </c>
      <c r="F12" s="35">
        <f>IF(E12&gt;='Tiers de Precio'!$B$8,'Tiers de Precio'!$A$8,IF(E12&gt;='Tiers de Precio'!$B$7,'Tiers de Precio'!$A$7,IF(E12&gt;='Tiers de Precio'!$B$6,'Tiers de Precio'!$A$6,'Tiers de Precio'!$A$5)))</f>
        <v/>
      </c>
    </row>
    <row r="13">
      <c r="A13" s="30" t="n">
        <v>4</v>
      </c>
      <c r="B13" s="31">
        <f>$B$4</f>
        <v/>
      </c>
      <c r="C13" s="31">
        <f>C12+B13</f>
        <v/>
      </c>
      <c r="D13" s="31">
        <f>D12*$B$6</f>
        <v/>
      </c>
      <c r="E13" s="31">
        <f>E12+D13</f>
        <v/>
      </c>
      <c r="F13" s="32">
        <f>IF(E13&gt;='Tiers de Precio'!$B$8,'Tiers de Precio'!$A$8,IF(E13&gt;='Tiers de Precio'!$B$7,'Tiers de Precio'!$A$7,IF(E13&gt;='Tiers de Precio'!$B$6,'Tiers de Precio'!$A$6,'Tiers de Precio'!$A$5)))</f>
        <v/>
      </c>
    </row>
    <row r="14">
      <c r="A14" s="33" t="n">
        <v>5</v>
      </c>
      <c r="B14" s="34">
        <f>$B$4</f>
        <v/>
      </c>
      <c r="C14" s="34">
        <f>C13+B14</f>
        <v/>
      </c>
      <c r="D14" s="34">
        <f>D13*$B$6</f>
        <v/>
      </c>
      <c r="E14" s="34">
        <f>E13+D14</f>
        <v/>
      </c>
      <c r="F14" s="35">
        <f>IF(E14&gt;='Tiers de Precio'!$B$8,'Tiers de Precio'!$A$8,IF(E14&gt;='Tiers de Precio'!$B$7,'Tiers de Precio'!$A$7,IF(E14&gt;='Tiers de Precio'!$B$6,'Tiers de Precio'!$A$6,'Tiers de Precio'!$A$5)))</f>
        <v/>
      </c>
    </row>
    <row r="15">
      <c r="A15" s="30" t="n">
        <v>6</v>
      </c>
      <c r="B15" s="31">
        <f>$B$4</f>
        <v/>
      </c>
      <c r="C15" s="31">
        <f>C14+B15</f>
        <v/>
      </c>
      <c r="D15" s="31">
        <f>D14*$B$6</f>
        <v/>
      </c>
      <c r="E15" s="31">
        <f>E14+D15</f>
        <v/>
      </c>
      <c r="F15" s="32">
        <f>IF(E15&gt;='Tiers de Precio'!$B$8,'Tiers de Precio'!$A$8,IF(E15&gt;='Tiers de Precio'!$B$7,'Tiers de Precio'!$A$7,IF(E15&gt;='Tiers de Precio'!$B$6,'Tiers de Precio'!$A$6,'Tiers de Precio'!$A$5)))</f>
        <v/>
      </c>
    </row>
    <row r="16">
      <c r="A16" s="33" t="n">
        <v>7</v>
      </c>
      <c r="B16" s="34">
        <f>$B$4</f>
        <v/>
      </c>
      <c r="C16" s="34">
        <f>C15+B16</f>
        <v/>
      </c>
      <c r="D16" s="34">
        <f>D15*$B$6</f>
        <v/>
      </c>
      <c r="E16" s="34">
        <f>E15+D16</f>
        <v/>
      </c>
      <c r="F16" s="35">
        <f>IF(E16&gt;='Tiers de Precio'!$B$8,'Tiers de Precio'!$A$8,IF(E16&gt;='Tiers de Precio'!$B$7,'Tiers de Precio'!$A$7,IF(E16&gt;='Tiers de Precio'!$B$6,'Tiers de Precio'!$A$6,'Tiers de Precio'!$A$5)))</f>
        <v/>
      </c>
    </row>
    <row r="17">
      <c r="A17" s="30" t="n">
        <v>8</v>
      </c>
      <c r="B17" s="31">
        <f>$B$4</f>
        <v/>
      </c>
      <c r="C17" s="31">
        <f>C16+B17</f>
        <v/>
      </c>
      <c r="D17" s="31">
        <f>D16*$B$6</f>
        <v/>
      </c>
      <c r="E17" s="31">
        <f>E16+D17</f>
        <v/>
      </c>
      <c r="F17" s="32">
        <f>IF(E17&gt;='Tiers de Precio'!$B$8,'Tiers de Precio'!$A$8,IF(E17&gt;='Tiers de Precio'!$B$7,'Tiers de Precio'!$A$7,IF(E17&gt;='Tiers de Precio'!$B$6,'Tiers de Precio'!$A$6,'Tiers de Precio'!$A$5)))</f>
        <v/>
      </c>
    </row>
    <row r="18">
      <c r="A18" s="33" t="n">
        <v>9</v>
      </c>
      <c r="B18" s="34">
        <f>$B$4</f>
        <v/>
      </c>
      <c r="C18" s="34">
        <f>C17+B18</f>
        <v/>
      </c>
      <c r="D18" s="34">
        <f>D17*$B$6</f>
        <v/>
      </c>
      <c r="E18" s="34">
        <f>E17+D18</f>
        <v/>
      </c>
      <c r="F18" s="35">
        <f>IF(E18&gt;='Tiers de Precio'!$B$8,'Tiers de Precio'!$A$8,IF(E18&gt;='Tiers de Precio'!$B$7,'Tiers de Precio'!$A$7,IF(E18&gt;='Tiers de Precio'!$B$6,'Tiers de Precio'!$A$6,'Tiers de Precio'!$A$5)))</f>
        <v/>
      </c>
    </row>
    <row r="19">
      <c r="A19" s="30" t="n">
        <v>10</v>
      </c>
      <c r="B19" s="31">
        <f>$B$4</f>
        <v/>
      </c>
      <c r="C19" s="31">
        <f>C18+B19</f>
        <v/>
      </c>
      <c r="D19" s="31">
        <f>D18*$B$6</f>
        <v/>
      </c>
      <c r="E19" s="31">
        <f>E18+D19</f>
        <v/>
      </c>
      <c r="F19" s="32">
        <f>IF(E19&gt;='Tiers de Precio'!$B$8,'Tiers de Precio'!$A$8,IF(E19&gt;='Tiers de Precio'!$B$7,'Tiers de Precio'!$A$7,IF(E19&gt;='Tiers de Precio'!$B$6,'Tiers de Precio'!$A$6,'Tiers de Precio'!$A$5)))</f>
        <v/>
      </c>
    </row>
    <row r="20">
      <c r="A20" s="33" t="n">
        <v>11</v>
      </c>
      <c r="B20" s="34">
        <f>$B$4</f>
        <v/>
      </c>
      <c r="C20" s="34">
        <f>C19+B20</f>
        <v/>
      </c>
      <c r="D20" s="34">
        <f>D19*$B$6</f>
        <v/>
      </c>
      <c r="E20" s="34">
        <f>E19+D20</f>
        <v/>
      </c>
      <c r="F20" s="35">
        <f>IF(E20&gt;='Tiers de Precio'!$B$8,'Tiers de Precio'!$A$8,IF(E20&gt;='Tiers de Precio'!$B$7,'Tiers de Precio'!$A$7,IF(E20&gt;='Tiers de Precio'!$B$6,'Tiers de Precio'!$A$6,'Tiers de Precio'!$A$5)))</f>
        <v/>
      </c>
    </row>
    <row r="21">
      <c r="A21" s="30" t="n">
        <v>12</v>
      </c>
      <c r="B21" s="31">
        <f>$B$4</f>
        <v/>
      </c>
      <c r="C21" s="31">
        <f>C20+B21</f>
        <v/>
      </c>
      <c r="D21" s="31">
        <f>D20*$B$6</f>
        <v/>
      </c>
      <c r="E21" s="31">
        <f>E20+D21</f>
        <v/>
      </c>
      <c r="F21" s="32">
        <f>IF(E21&gt;='Tiers de Precio'!$B$8,'Tiers de Precio'!$A$8,IF(E21&gt;='Tiers de Precio'!$B$7,'Tiers de Precio'!$A$7,IF(E21&gt;='Tiers de Precio'!$B$6,'Tiers de Precio'!$A$6,'Tiers de Precio'!$A$5)))</f>
        <v/>
      </c>
    </row>
    <row r="22">
      <c r="A22" s="33" t="n">
        <v>13</v>
      </c>
      <c r="B22" s="34">
        <f>$B$4</f>
        <v/>
      </c>
      <c r="C22" s="34">
        <f>C21+B22</f>
        <v/>
      </c>
      <c r="D22" s="34">
        <f>D21*$B$6</f>
        <v/>
      </c>
      <c r="E22" s="34">
        <f>E21+D22</f>
        <v/>
      </c>
      <c r="F22" s="35">
        <f>IF(E22&gt;='Tiers de Precio'!$B$8,'Tiers de Precio'!$A$8,IF(E22&gt;='Tiers de Precio'!$B$7,'Tiers de Precio'!$A$7,IF(E22&gt;='Tiers de Precio'!$B$6,'Tiers de Precio'!$A$6,'Tiers de Precio'!$A$5)))</f>
        <v/>
      </c>
    </row>
    <row r="23">
      <c r="A23" s="30" t="n">
        <v>14</v>
      </c>
      <c r="B23" s="31">
        <f>$B$4</f>
        <v/>
      </c>
      <c r="C23" s="31">
        <f>C22+B23</f>
        <v/>
      </c>
      <c r="D23" s="31">
        <f>D22*$B$6</f>
        <v/>
      </c>
      <c r="E23" s="31">
        <f>E22+D23</f>
        <v/>
      </c>
      <c r="F23" s="32">
        <f>IF(E23&gt;='Tiers de Precio'!$B$8,'Tiers de Precio'!$A$8,IF(E23&gt;='Tiers de Precio'!$B$7,'Tiers de Precio'!$A$7,IF(E23&gt;='Tiers de Precio'!$B$6,'Tiers de Precio'!$A$6,'Tiers de Precio'!$A$5)))</f>
        <v/>
      </c>
    </row>
    <row r="24">
      <c r="A24" s="33" t="n">
        <v>15</v>
      </c>
      <c r="B24" s="34">
        <f>$B$4</f>
        <v/>
      </c>
      <c r="C24" s="34">
        <f>C23+B24</f>
        <v/>
      </c>
      <c r="D24" s="34">
        <f>D23*$B$6</f>
        <v/>
      </c>
      <c r="E24" s="34">
        <f>E23+D24</f>
        <v/>
      </c>
      <c r="F24" s="35">
        <f>IF(E24&gt;='Tiers de Precio'!$B$8,'Tiers de Precio'!$A$8,IF(E24&gt;='Tiers de Precio'!$B$7,'Tiers de Precio'!$A$7,IF(E24&gt;='Tiers de Precio'!$B$6,'Tiers de Precio'!$A$6,'Tiers de Precio'!$A$5)))</f>
        <v/>
      </c>
    </row>
    <row r="26">
      <c r="A26" s="2" t="inlineStr">
        <is>
          <t>Lectura: lo lineal es constante y predecible; lo exponencial arranca lento pero acelera con integraciones y boca-a-boca. Edita las 3 celdas amarillas para ver tu curva.</t>
        </is>
      </c>
    </row>
  </sheetData>
  <mergeCells count="3">
    <mergeCell ref="A26:F26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1" ht="22" customHeight="1">
      <c r="A1" s="1" t="inlineStr">
        <is>
          <t>Cómo usar este modelo y cómo cotizar valor</t>
        </is>
      </c>
    </row>
    <row r="2">
      <c r="A2" s="2" t="inlineStr">
        <is>
          <t>La filosofía: el precio refleja el valor entregado, no las horas trabajadas.</t>
        </is>
      </c>
    </row>
    <row r="4">
      <c r="B4" s="36" t="inlineStr">
        <is>
          <t>1 · La regla fundacional</t>
        </is>
      </c>
    </row>
    <row r="5" ht="46" customHeight="1">
      <c r="B5" s="37" t="inlineStr">
        <is>
          <t>Empiezas en $0 porque aún no hay nada. Cada commit/feature aporta valor mensual justificado que se acumula en el Registro de Valor. Cuando el acumulado cruza un umbral, desbloqueas un tier de precio. Así el precio nunca es arbitrario: siempre está respaldado por lo que el producto ya hace.</t>
        </is>
      </c>
    </row>
    <row r="7">
      <c r="B7" s="36" t="inlineStr">
        <is>
          <t>2 · El valor NO es tu esfuerzo</t>
        </is>
      </c>
    </row>
    <row r="8" ht="46" customHeight="1">
      <c r="B8" s="37" t="inlineStr">
        <is>
          <t>Cotiza por lo que le AHORRAS al usuario, no por lo que te costó construir. Si tu herramienta le ahorra a un tesista 3 horas de pelear con estadística, eso vale mucho más que los $2/mes que cobras. Esa brecha (valor entregado ≫ precio) es lo que hace que pagar se sienta una ganga.</t>
        </is>
      </c>
    </row>
    <row r="10">
      <c r="B10" s="36" t="inlineStr">
        <is>
          <t>3 · Ecuador = Internacional (misma cifra)</t>
        </is>
      </c>
    </row>
    <row r="11" ht="46" customHeight="1">
      <c r="B11" s="37" t="inlineStr">
        <is>
          <t>Ecuador usa el dólar, así que tu precio en USD es idéntico local e internacionalmente. Un precio pensado para Ecuador ($1.99–$4.99) se lee como barato afuera: eso REDUCE fricción y te da ventaja, no la quita. No conviertas monedas; cotiza en USD y listo.</t>
        </is>
      </c>
    </row>
    <row r="13">
      <c r="B13" s="36" t="inlineStr">
        <is>
          <t>4 · Cuándo subir el precio</t>
        </is>
      </c>
    </row>
    <row r="14" ht="46" customHeight="1">
      <c r="B14" s="37" t="inlineStr">
        <is>
          <t>Sube cuando: (a) el acumulado cruza el siguiente umbral, (b) los usuarios usan el producto repetidamente (retención), o (c) agregas una feature 'killer' que ahorra tiempo real. Sube a los usuarios NUEVOS primero; a los antiguos respétales el precio un tiempo (genera lealtad).</t>
        </is>
      </c>
    </row>
    <row r="16">
      <c r="B16" s="36" t="inlineStr">
        <is>
          <t>5 · Lineal vs exponencial</t>
        </is>
      </c>
    </row>
    <row r="17" ht="46" customHeight="1">
      <c r="B17" s="37" t="inlineStr">
        <is>
          <t>Al inicio, crece lineal: cada feature suma un poco. Cuando aparezcan integraciones, boca-a-boca o modo institucional (varios usuarios por venta), el valor crece exponencial. La pestaña 'Modelo de Crecimiento' te deja simular ambas curvas editando 3 celdas.</t>
        </is>
      </c>
    </row>
    <row r="19">
      <c r="B19" s="36" t="inlineStr">
        <is>
          <t>6 · Cómo lo usas en el día a día</t>
        </is>
      </c>
    </row>
    <row r="20" ht="46" customHeight="1">
      <c r="B20" s="37" t="inlineStr">
        <is>
          <t>Cada vez que cierres un ticket con valor para el usuario: añade una fila al Registro de Valor con su aporte estimado, commitea, y anota en tu Bitácora. El modelo te dirá en qué tier estás y qué precio está justificado pedir. Es tu brújula de precio, respaldada por evidencia.</t>
        </is>
      </c>
    </row>
    <row r="22">
      <c r="B22" s="36" t="inlineStr">
        <is>
          <t>7 · El penny gap (por qué NO cobrar 1 centavo)</t>
        </is>
      </c>
    </row>
    <row r="23" ht="46" customHeight="1">
      <c r="B23" s="37" t="inlineStr">
        <is>
          <t>El salto más difícil no es de $1 a $3: es de $0 a CUALQUIER precio (es psicológico, no económico). Cobrar 1 centavo te da toda la fricción de cobrar sin ingreso que valga. Estrategia correcta para tu entorno: tier Gratis genuinamente útil (adopción sin barrera para la presentación inicial) + un desbloqueo de pago con precio 'no-brainer' ($0.99-$2.99) para quien YA recibió valor. No cobres a todos un centavo; cruza el salto 0→pago con los usuarios correctos.</t>
        </is>
      </c>
    </row>
    <row r="25">
      <c r="B25" s="36" t="inlineStr">
        <is>
          <t>8 · Cómo hacerlo un no-brainer</t>
        </is>
      </c>
    </row>
    <row r="26" ht="46" customHeight="1">
      <c r="B26" s="37" t="inlineStr">
        <is>
          <t>(a) Muestra el valor antes de pedir pago (el usuario ya ahorró tiempo con lo gratis). (b) Ancla contra la alternativa cara: 'un estadístico cobra $50 por asesoría; esto $0.99/mes'. (c) Prueba en producto: al desbloquear, di exactamente qué fricción quitas. (d) Conversión realista freemium: 2-5% pagan. No es fracaso; es la norma. Con 500 usuarios gratis, 10-25 pagan.</t>
        </is>
      </c>
    </row>
    <row r="28">
      <c r="B28" s="36" t="inlineStr">
        <is>
          <t>9 · Advertencia honesta</t>
        </is>
      </c>
    </row>
    <row r="29" ht="46" customHeight="1">
      <c r="B29" s="37" t="inlineStr">
        <is>
          <t>Estos valores son estimaciones para guiarte, no una ciencia exacta. El precio REAL lo valida el mercado: si nadie paga tu tier, el valor percibido es menor al que estimaste (mejora la feature); si pagan sin dudar, subestimaste (puedes subir). El modelo te orienta; los usuarios deciden.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2026-07-29T01:53:51Z</dcterms:created>
  <dcterms:modified xmlns:dcterms="http://purl.org/dc/terms/" xmlns:xsi="http://www.w3.org/2001/XMLSchema-instance" xsi:type="dcterms:W3CDTF">2026-07-29T01:53:51Z</dcterms:modified>
</cp:coreProperties>
</file>